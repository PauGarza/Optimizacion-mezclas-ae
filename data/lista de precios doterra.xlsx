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i\Documents\MetodosNumericos\Proyecto final\data\"/>
    </mc:Choice>
  </mc:AlternateContent>
  <xr:revisionPtr revIDLastSave="0" documentId="8_{FF211103-1F69-479B-B20C-B85DFC1F1CAB}" xr6:coauthVersionLast="47" xr6:coauthVersionMax="47" xr10:uidLastSave="{00000000-0000-0000-0000-000000000000}"/>
  <bookViews>
    <workbookView xWindow="-108" yWindow="-108" windowWidth="23256" windowHeight="12456" xr2:uid="{746444F2-813E-4077-A4EB-8570CD67C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1" i="1" l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G21" i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<sst xmlns="http://schemas.openxmlformats.org/spreadsheetml/2006/main" count="87" uniqueCount="87">
  <si>
    <t>ACEITES</t>
  </si>
  <si>
    <t>mL</t>
  </si>
  <si>
    <t>Costo Inscritos</t>
  </si>
  <si>
    <t>Costo Retail</t>
  </si>
  <si>
    <t>PVs</t>
  </si>
  <si>
    <t>Gtas x frasco</t>
  </si>
  <si>
    <t>Precio x gta</t>
  </si>
  <si>
    <t>Abedul</t>
  </si>
  <si>
    <t>Abeto Negro</t>
  </si>
  <si>
    <t>Abeto Siberiano</t>
  </si>
  <si>
    <t>Abode</t>
  </si>
  <si>
    <t>Albahaca</t>
  </si>
  <si>
    <t>Árbol de Té</t>
  </si>
  <si>
    <t>Arborvitae (Árbol de la vida)</t>
  </si>
  <si>
    <t>Baya de Enebro</t>
  </si>
  <si>
    <t>Bergamota</t>
  </si>
  <si>
    <t>Blue Tansy (Tansy Azul)</t>
  </si>
  <si>
    <t>Limón</t>
  </si>
  <si>
    <t>Cananga</t>
  </si>
  <si>
    <t>Canela</t>
  </si>
  <si>
    <t>Cardamomo</t>
  </si>
  <si>
    <t>Limoncillo</t>
  </si>
  <si>
    <t>Naranja Silvestre</t>
  </si>
  <si>
    <t>Cilantro</t>
  </si>
  <si>
    <t>Niaouli</t>
  </si>
  <si>
    <t>Citronela</t>
  </si>
  <si>
    <t>Aceite Fraccionado de Coco</t>
  </si>
  <si>
    <t>Clementina</t>
  </si>
  <si>
    <t>Copaiba</t>
  </si>
  <si>
    <t>Palmarosa</t>
  </si>
  <si>
    <t>Lima</t>
  </si>
  <si>
    <t>Árbol de Té Touch</t>
  </si>
  <si>
    <t>Cedro</t>
  </si>
  <si>
    <t>Elevation</t>
  </si>
  <si>
    <t>Clavo</t>
  </si>
  <si>
    <t>Eucalipto Mezcla</t>
  </si>
  <si>
    <t>Eucalipto Limón</t>
  </si>
  <si>
    <t>Geranio</t>
  </si>
  <si>
    <t>Helicriso</t>
  </si>
  <si>
    <t>Hierbabuena</t>
  </si>
  <si>
    <t>Hinoki</t>
  </si>
  <si>
    <t>Hoja de laurel</t>
  </si>
  <si>
    <t>Hygge</t>
  </si>
  <si>
    <t>Incienso</t>
  </si>
  <si>
    <t>Island Mint</t>
  </si>
  <si>
    <t>Jazmín</t>
  </si>
  <si>
    <t>Jengibre</t>
  </si>
  <si>
    <t>Lavanda</t>
  </si>
  <si>
    <t>Hinojo</t>
  </si>
  <si>
    <t>Romero</t>
  </si>
  <si>
    <t>Malama</t>
  </si>
  <si>
    <t>Ciprés</t>
  </si>
  <si>
    <t>Mandarina Verde</t>
  </si>
  <si>
    <t>Manzanilla Romana</t>
  </si>
  <si>
    <t>Citrus Bliss</t>
  </si>
  <si>
    <t>Melissa</t>
  </si>
  <si>
    <t>Menta</t>
  </si>
  <si>
    <t>Mandarina</t>
  </si>
  <si>
    <t>Gaulteria</t>
  </si>
  <si>
    <t>Toronja</t>
  </si>
  <si>
    <t>Mirra</t>
  </si>
  <si>
    <t>Nardo</t>
  </si>
  <si>
    <t>Neroli Touch</t>
  </si>
  <si>
    <t>Orégano</t>
  </si>
  <si>
    <t>Pachulí</t>
  </si>
  <si>
    <t>Guaiacwood</t>
  </si>
  <si>
    <t>Petitgrain</t>
  </si>
  <si>
    <t>Pimienta Negra</t>
  </si>
  <si>
    <t>Pimienta Rosa</t>
  </si>
  <si>
    <t>Ravinstara</t>
  </si>
  <si>
    <t>Rosa</t>
  </si>
  <si>
    <t>Salvia</t>
  </si>
  <si>
    <t>Sándalo</t>
  </si>
  <si>
    <t>Sándalo Hawaiano</t>
  </si>
  <si>
    <t>Satureja</t>
  </si>
  <si>
    <t>Semilla de Apio</t>
  </si>
  <si>
    <t>Semilla de Cilantro</t>
  </si>
  <si>
    <t>Slavia Española</t>
  </si>
  <si>
    <t>Casia</t>
  </si>
  <si>
    <t>Mejorana</t>
  </si>
  <si>
    <t>Tomillo</t>
  </si>
  <si>
    <t>Tulsi</t>
  </si>
  <si>
    <t>Tumeric</t>
  </si>
  <si>
    <t>Vainilla de madagascar</t>
  </si>
  <si>
    <t>Vetiver</t>
  </si>
  <si>
    <t>Yarrom POM</t>
  </si>
  <si>
    <t>Ylang Ylang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</si>
</sst>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A]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Raleway"/>
    </font>
    <font>
      <sz val="11"/>
      <color theme="1"/>
      <name val="Raleway"/>
    </font>
  </fonts>
  <fills count="3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rgb="FF231F20"/>
      </right>
      <top style="thin">
        <color theme="8"/>
      </top>
      <bottom style="thin">
        <color rgb="FF231F2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164" fontId="2" fillId="0" borderId="2" xfId="0" applyNumberFormat="1" applyFont="1" applyBorder="1" applyAlignment="1">
      <alignment wrapText="1"/>
    </xf>
    <xf numFmtId="2" fontId="2" fillId="0" borderId="2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8454-F55B-4A90-A524-BBC0FEE86C50}">
  <dimension ref="A1:G81"/>
  <sheetViews>
    <sheetView tabSelected="1" workbookViewId="0">
      <selection activeCell="A6" sqref="A6:XFD6"/>
    </sheetView>
  </sheetViews>
  <sheetFormatPr baseColWidth="10" defaultRowHeight="14.4" x14ac:dyDescent="0.3"/>
  <cols>
    <col min="1" max="1" width="40.44140625" bestFit="1" customWidth="1"/>
  </cols>
  <sheetData>
    <row r="1" spans="1:7" ht="34.79999999999999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399999999999999" x14ac:dyDescent="0.4">
      <c r="A2" s="3" t="s">
        <v>7</v>
      </c>
      <c r="B2" s="5">
        <v>5</v>
      </c>
      <c r="C2" s="6">
        <v>1205</v>
      </c>
      <c r="D2" s="6">
        <v>1607</v>
      </c>
      <c r="E2" s="4">
        <v>47</v>
      </c>
      <c r="F2" s="5">
        <f t="shared" ref="F2:F20" si="0">B2*16</f>
        <v>80</v>
      </c>
      <c r="G2" s="7">
        <f t="shared" ref="G2:G30" si="1">D2/F2</f>
        <v>20.087499999999999</v>
      </c>
    </row>
    <row r="3" spans="1:7" ht="17.399999999999999" x14ac:dyDescent="0.4">
      <c r="A3" s="3" t="s">
        <v>8</v>
      </c>
      <c r="B3" s="5">
        <v>5</v>
      </c>
      <c r="C3" s="6">
        <v>502</v>
      </c>
      <c r="D3" s="6">
        <v>669</v>
      </c>
      <c r="E3" s="4">
        <v>24</v>
      </c>
      <c r="F3" s="5">
        <f t="shared" si="0"/>
        <v>80</v>
      </c>
      <c r="G3" s="7">
        <f t="shared" si="1"/>
        <v>8.3625000000000007</v>
      </c>
    </row>
    <row r="4" spans="1:7" ht="17.399999999999999" x14ac:dyDescent="0.4">
      <c r="A4" s="3" t="s">
        <v>9</v>
      </c>
      <c r="B4" s="5">
        <v>15</v>
      </c>
      <c r="C4" s="6">
        <v>502</v>
      </c>
      <c r="D4" s="6">
        <v>669</v>
      </c>
      <c r="E4" s="4">
        <v>24</v>
      </c>
      <c r="F4" s="5">
        <f t="shared" si="0"/>
        <v>240</v>
      </c>
      <c r="G4" s="7">
        <f t="shared" si="1"/>
        <v>2.7875000000000001</v>
      </c>
    </row>
    <row r="5" spans="1:7" ht="17.399999999999999" x14ac:dyDescent="0.4">
      <c r="A5" s="3" t="s">
        <v>10</v>
      </c>
      <c r="B5" s="5">
        <v>15</v>
      </c>
      <c r="C5" s="6">
        <v>610</v>
      </c>
      <c r="D5" s="6">
        <v>813</v>
      </c>
      <c r="E5" s="4">
        <v>30</v>
      </c>
      <c r="F5" s="5">
        <f t="shared" si="0"/>
        <v>240</v>
      </c>
      <c r="G5" s="7">
        <f t="shared" si="1"/>
        <v>3.3875000000000002</v>
      </c>
    </row>
    <row r="6" spans="1:7" ht="17.399999999999999" x14ac:dyDescent="0.4">
      <c r="A6" s="3" t="s">
        <v>11</v>
      </c>
      <c r="B6" s="5">
        <v>15</v>
      </c>
      <c r="C6" s="6">
        <v>495</v>
      </c>
      <c r="D6" s="6">
        <v>660</v>
      </c>
      <c r="E6" s="4">
        <v>24</v>
      </c>
      <c r="F6" s="5">
        <f t="shared" si="0"/>
        <v>240</v>
      </c>
      <c r="G6" s="7">
        <f t="shared" si="1"/>
        <v>2.75</v>
      </c>
    </row>
    <row r="7" spans="1:7" ht="17.399999999999999" x14ac:dyDescent="0.4">
      <c r="A7" s="3" t="s">
        <v>12</v>
      </c>
      <c r="B7" s="5">
        <v>15</v>
      </c>
      <c r="C7" s="6">
        <v>495</v>
      </c>
      <c r="D7" s="6">
        <v>660</v>
      </c>
      <c r="E7" s="4">
        <v>24</v>
      </c>
      <c r="F7" s="5">
        <f t="shared" si="0"/>
        <v>240</v>
      </c>
      <c r="G7" s="7">
        <f t="shared" si="1"/>
        <v>2.75</v>
      </c>
    </row>
    <row r="8" spans="1:7" ht="17.399999999999999" x14ac:dyDescent="0.4">
      <c r="A8" s="3" t="s">
        <v>13</v>
      </c>
      <c r="B8" s="5">
        <v>5</v>
      </c>
      <c r="C8" s="6">
        <v>534</v>
      </c>
      <c r="D8" s="6">
        <v>712</v>
      </c>
      <c r="E8" s="4">
        <v>26</v>
      </c>
      <c r="F8" s="5">
        <f t="shared" si="0"/>
        <v>80</v>
      </c>
      <c r="G8" s="7">
        <f t="shared" si="1"/>
        <v>8.9</v>
      </c>
    </row>
    <row r="9" spans="1:7" ht="17.399999999999999" x14ac:dyDescent="0.4">
      <c r="A9" s="3" t="s">
        <v>14</v>
      </c>
      <c r="B9" s="5">
        <v>5</v>
      </c>
      <c r="C9" s="6">
        <v>502</v>
      </c>
      <c r="D9" s="6">
        <v>669</v>
      </c>
      <c r="E9" s="4">
        <v>24</v>
      </c>
      <c r="F9" s="5">
        <f t="shared" si="0"/>
        <v>80</v>
      </c>
      <c r="G9" s="7">
        <f t="shared" si="1"/>
        <v>8.3625000000000007</v>
      </c>
    </row>
    <row r="10" spans="1:7" ht="17.399999999999999" x14ac:dyDescent="0.4">
      <c r="A10" s="3" t="s">
        <v>15</v>
      </c>
      <c r="B10" s="5">
        <v>15</v>
      </c>
      <c r="C10" s="6">
        <v>654</v>
      </c>
      <c r="D10" s="6">
        <v>872</v>
      </c>
      <c r="E10" s="4">
        <v>32</v>
      </c>
      <c r="F10" s="5">
        <f t="shared" si="0"/>
        <v>240</v>
      </c>
      <c r="G10" s="7">
        <f t="shared" si="1"/>
        <v>3.6333333333333333</v>
      </c>
    </row>
    <row r="11" spans="1:7" ht="17.399999999999999" x14ac:dyDescent="0.4">
      <c r="A11" s="3" t="s">
        <v>16</v>
      </c>
      <c r="B11" s="5">
        <v>5</v>
      </c>
      <c r="C11" s="6">
        <v>1885</v>
      </c>
      <c r="D11" s="6">
        <v>2514</v>
      </c>
      <c r="E11" s="4">
        <v>85</v>
      </c>
      <c r="F11" s="5">
        <f t="shared" si="0"/>
        <v>80</v>
      </c>
      <c r="G11" s="7">
        <f t="shared" si="1"/>
        <v>31.425000000000001</v>
      </c>
    </row>
    <row r="12" spans="1:7" ht="17.399999999999999" x14ac:dyDescent="0.4">
      <c r="A12" s="3" t="s">
        <v>17</v>
      </c>
      <c r="B12" s="5">
        <v>15</v>
      </c>
      <c r="C12" s="6">
        <v>244</v>
      </c>
      <c r="D12" s="6">
        <v>325</v>
      </c>
      <c r="E12" s="4">
        <v>12</v>
      </c>
      <c r="F12" s="5">
        <f t="shared" si="0"/>
        <v>240</v>
      </c>
      <c r="G12" s="7">
        <f t="shared" si="1"/>
        <v>1.3541666666666667</v>
      </c>
    </row>
    <row r="13" spans="1:7" ht="17.399999999999999" x14ac:dyDescent="0.4">
      <c r="A13" s="3" t="s">
        <v>18</v>
      </c>
      <c r="B13" s="5">
        <v>15</v>
      </c>
      <c r="C13" s="6">
        <v>985</v>
      </c>
      <c r="D13" s="6">
        <v>1313</v>
      </c>
      <c r="E13" s="4">
        <v>47</v>
      </c>
      <c r="F13" s="5">
        <f t="shared" si="0"/>
        <v>240</v>
      </c>
      <c r="G13" s="7">
        <f t="shared" si="1"/>
        <v>5.4708333333333332</v>
      </c>
    </row>
    <row r="14" spans="1:7" ht="17.399999999999999" x14ac:dyDescent="0.4">
      <c r="A14" s="3" t="s">
        <v>19</v>
      </c>
      <c r="B14" s="5">
        <v>5</v>
      </c>
      <c r="C14" s="6">
        <v>508</v>
      </c>
      <c r="D14" s="6">
        <v>677</v>
      </c>
      <c r="E14" s="4">
        <v>25</v>
      </c>
      <c r="F14" s="5">
        <f t="shared" si="0"/>
        <v>80</v>
      </c>
      <c r="G14" s="7">
        <f t="shared" si="1"/>
        <v>8.4625000000000004</v>
      </c>
    </row>
    <row r="15" spans="1:7" ht="17.399999999999999" x14ac:dyDescent="0.4">
      <c r="A15" s="3" t="s">
        <v>20</v>
      </c>
      <c r="B15" s="5">
        <v>5</v>
      </c>
      <c r="C15" s="6">
        <v>702</v>
      </c>
      <c r="D15" s="6">
        <v>936</v>
      </c>
      <c r="E15" s="4">
        <v>33</v>
      </c>
      <c r="F15" s="5">
        <f t="shared" si="0"/>
        <v>80</v>
      </c>
      <c r="G15" s="7">
        <f t="shared" si="1"/>
        <v>11.7</v>
      </c>
    </row>
    <row r="16" spans="1:7" ht="17.399999999999999" x14ac:dyDescent="0.4">
      <c r="A16" s="3" t="s">
        <v>21</v>
      </c>
      <c r="B16" s="5">
        <v>15</v>
      </c>
      <c r="C16" s="6">
        <v>238</v>
      </c>
      <c r="D16" s="6">
        <v>317</v>
      </c>
      <c r="E16" s="4">
        <v>12</v>
      </c>
      <c r="F16" s="5">
        <f t="shared" si="0"/>
        <v>240</v>
      </c>
      <c r="G16" s="7">
        <f t="shared" si="1"/>
        <v>1.3208333333333333</v>
      </c>
    </row>
    <row r="17" spans="1:7" ht="17.399999999999999" x14ac:dyDescent="0.4">
      <c r="A17" s="3" t="s">
        <v>22</v>
      </c>
      <c r="B17" s="5">
        <v>15</v>
      </c>
      <c r="C17" s="6">
        <v>248</v>
      </c>
      <c r="D17" s="6">
        <v>331</v>
      </c>
      <c r="E17" s="4">
        <v>12</v>
      </c>
      <c r="F17" s="5">
        <f t="shared" si="0"/>
        <v>240</v>
      </c>
      <c r="G17" s="7">
        <f t="shared" si="1"/>
        <v>1.3791666666666667</v>
      </c>
    </row>
    <row r="18" spans="1:7" ht="17.399999999999999" x14ac:dyDescent="0.4">
      <c r="A18" s="3" t="s">
        <v>23</v>
      </c>
      <c r="B18" s="5">
        <v>15</v>
      </c>
      <c r="C18" s="6">
        <v>610</v>
      </c>
      <c r="D18" s="6">
        <v>813</v>
      </c>
      <c r="E18" s="4">
        <v>30</v>
      </c>
      <c r="F18" s="5">
        <f t="shared" si="0"/>
        <v>240</v>
      </c>
      <c r="G18" s="7">
        <f t="shared" si="1"/>
        <v>3.3875000000000002</v>
      </c>
    </row>
    <row r="19" spans="1:7" ht="17.399999999999999" x14ac:dyDescent="0.4">
      <c r="A19" s="3" t="s">
        <v>24</v>
      </c>
      <c r="B19" s="5">
        <v>15</v>
      </c>
      <c r="C19" s="6">
        <v>248</v>
      </c>
      <c r="D19" s="6">
        <v>331</v>
      </c>
      <c r="E19" s="4">
        <v>12</v>
      </c>
      <c r="F19" s="5">
        <f t="shared" si="0"/>
        <v>240</v>
      </c>
      <c r="G19" s="7">
        <f t="shared" si="1"/>
        <v>1.3791666666666667</v>
      </c>
    </row>
    <row r="20" spans="1:7" ht="17.399999999999999" x14ac:dyDescent="0.4">
      <c r="A20" s="3" t="s">
        <v>25</v>
      </c>
      <c r="B20" s="5">
        <v>15</v>
      </c>
      <c r="C20" s="6">
        <v>502</v>
      </c>
      <c r="D20" s="6">
        <v>669</v>
      </c>
      <c r="E20" s="4">
        <v>24</v>
      </c>
      <c r="F20" s="5">
        <f t="shared" si="0"/>
        <v>240</v>
      </c>
      <c r="G20" s="7">
        <f t="shared" si="1"/>
        <v>2.7875000000000001</v>
      </c>
    </row>
    <row r="21" spans="1:7" ht="17.399999999999999" x14ac:dyDescent="0.4">
      <c r="A21" s="3" t="s">
        <v>26</v>
      </c>
      <c r="B21" s="5">
        <v>115</v>
      </c>
      <c r="C21" s="6">
        <v>285</v>
      </c>
      <c r="D21" s="6">
        <v>380</v>
      </c>
      <c r="E21" s="4">
        <v>13</v>
      </c>
      <c r="F21" s="5">
        <v>115</v>
      </c>
      <c r="G21" s="7">
        <f t="shared" si="1"/>
        <v>3.3043478260869565</v>
      </c>
    </row>
    <row r="22" spans="1:7" ht="17.399999999999999" x14ac:dyDescent="0.4">
      <c r="A22" s="3" t="s">
        <v>27</v>
      </c>
      <c r="B22" s="5">
        <v>15</v>
      </c>
      <c r="C22" s="6">
        <v>530</v>
      </c>
      <c r="D22" s="6">
        <v>707</v>
      </c>
      <c r="E22" s="4">
        <v>25.5</v>
      </c>
      <c r="F22" s="5">
        <f t="shared" ref="F22:F49" si="2">B22*16</f>
        <v>240</v>
      </c>
      <c r="G22" s="7">
        <f t="shared" si="1"/>
        <v>2.9458333333333333</v>
      </c>
    </row>
    <row r="23" spans="1:7" ht="17.399999999999999" x14ac:dyDescent="0.4">
      <c r="A23" s="3" t="s">
        <v>28</v>
      </c>
      <c r="B23" s="5">
        <v>15</v>
      </c>
      <c r="C23" s="6">
        <v>820</v>
      </c>
      <c r="D23" s="6">
        <v>1093</v>
      </c>
      <c r="E23" s="4">
        <v>40</v>
      </c>
      <c r="F23" s="5">
        <f t="shared" si="2"/>
        <v>240</v>
      </c>
      <c r="G23" s="7">
        <f t="shared" si="1"/>
        <v>4.5541666666666663</v>
      </c>
    </row>
    <row r="24" spans="1:7" ht="17.399999999999999" x14ac:dyDescent="0.4">
      <c r="A24" s="3" t="s">
        <v>29</v>
      </c>
      <c r="B24" s="5">
        <v>5</v>
      </c>
      <c r="C24" s="6">
        <v>290</v>
      </c>
      <c r="D24" s="6">
        <v>387</v>
      </c>
      <c r="E24" s="4">
        <v>13.5</v>
      </c>
      <c r="F24" s="5">
        <f t="shared" si="2"/>
        <v>80</v>
      </c>
      <c r="G24" s="7">
        <f t="shared" si="1"/>
        <v>4.8375000000000004</v>
      </c>
    </row>
    <row r="25" spans="1:7" ht="17.399999999999999" x14ac:dyDescent="0.4">
      <c r="A25" s="3" t="s">
        <v>30</v>
      </c>
      <c r="B25" s="5">
        <v>15</v>
      </c>
      <c r="C25" s="6">
        <v>302</v>
      </c>
      <c r="D25" s="6">
        <v>403</v>
      </c>
      <c r="E25" s="4">
        <v>15</v>
      </c>
      <c r="F25" s="5">
        <f t="shared" si="2"/>
        <v>240</v>
      </c>
      <c r="G25" s="7">
        <f t="shared" si="1"/>
        <v>1.6791666666666667</v>
      </c>
    </row>
    <row r="26" spans="1:7" ht="17.399999999999999" x14ac:dyDescent="0.4">
      <c r="A26" s="3" t="s">
        <v>31</v>
      </c>
      <c r="B26" s="5">
        <v>10</v>
      </c>
      <c r="C26" s="6">
        <v>346</v>
      </c>
      <c r="D26" s="6">
        <v>461</v>
      </c>
      <c r="E26" s="4">
        <v>16</v>
      </c>
      <c r="F26" s="5">
        <f t="shared" si="2"/>
        <v>160</v>
      </c>
      <c r="G26" s="7">
        <f t="shared" si="1"/>
        <v>2.8812500000000001</v>
      </c>
    </row>
    <row r="27" spans="1:7" ht="17.399999999999999" x14ac:dyDescent="0.4">
      <c r="A27" s="3" t="s">
        <v>32</v>
      </c>
      <c r="B27" s="5">
        <v>15</v>
      </c>
      <c r="C27" s="6">
        <v>334</v>
      </c>
      <c r="D27" s="6">
        <v>445</v>
      </c>
      <c r="E27" s="4">
        <v>16</v>
      </c>
      <c r="F27" s="5">
        <f t="shared" si="2"/>
        <v>240</v>
      </c>
      <c r="G27" s="7">
        <f t="shared" si="1"/>
        <v>1.8541666666666667</v>
      </c>
    </row>
    <row r="28" spans="1:7" ht="17.399999999999999" x14ac:dyDescent="0.4">
      <c r="A28" s="3" t="s">
        <v>33</v>
      </c>
      <c r="B28" s="5">
        <v>15</v>
      </c>
      <c r="C28" s="6">
        <v>886</v>
      </c>
      <c r="D28" s="6">
        <v>1181</v>
      </c>
      <c r="E28" s="4">
        <v>43</v>
      </c>
      <c r="F28" s="5">
        <f t="shared" si="2"/>
        <v>240</v>
      </c>
      <c r="G28" s="7">
        <f t="shared" si="1"/>
        <v>4.9208333333333334</v>
      </c>
    </row>
    <row r="29" spans="1:7" ht="17.399999999999999" x14ac:dyDescent="0.4">
      <c r="A29" s="3" t="s">
        <v>34</v>
      </c>
      <c r="B29" s="5">
        <v>15</v>
      </c>
      <c r="C29" s="6">
        <v>334</v>
      </c>
      <c r="D29" s="6">
        <v>445</v>
      </c>
      <c r="E29" s="4">
        <v>16</v>
      </c>
      <c r="F29" s="5">
        <f t="shared" si="2"/>
        <v>240</v>
      </c>
      <c r="G29" s="7">
        <f t="shared" si="1"/>
        <v>1.8541666666666667</v>
      </c>
    </row>
    <row r="30" spans="1:7" ht="17.399999999999999" x14ac:dyDescent="0.4">
      <c r="A30" s="3" t="s">
        <v>35</v>
      </c>
      <c r="B30" s="5">
        <v>15</v>
      </c>
      <c r="C30" s="6">
        <v>485</v>
      </c>
      <c r="D30" s="6">
        <v>647</v>
      </c>
      <c r="E30" s="4">
        <v>23</v>
      </c>
      <c r="F30" s="5">
        <f t="shared" si="2"/>
        <v>240</v>
      </c>
      <c r="G30" s="7">
        <f t="shared" si="1"/>
        <v>2.6958333333333333</v>
      </c>
    </row>
    <row r="31" spans="1:7" ht="17.399999999999999" x14ac:dyDescent="0.4">
      <c r="A31" s="3" t="s">
        <v>36</v>
      </c>
      <c r="B31" s="5">
        <v>15</v>
      </c>
      <c r="C31" s="6">
        <v>334</v>
      </c>
      <c r="D31" s="6">
        <v>445</v>
      </c>
      <c r="E31" s="4">
        <v>16</v>
      </c>
      <c r="F31" s="5">
        <f t="shared" si="2"/>
        <v>240</v>
      </c>
      <c r="G31" s="7">
        <f t="shared" ref="G31:G58" si="3">D31/F31</f>
        <v>1.8541666666666667</v>
      </c>
    </row>
    <row r="32" spans="1:7" ht="17.399999999999999" x14ac:dyDescent="0.4">
      <c r="A32" s="3" t="s">
        <v>37</v>
      </c>
      <c r="B32" s="5">
        <v>15</v>
      </c>
      <c r="C32" s="6">
        <v>648</v>
      </c>
      <c r="D32" s="6">
        <v>864</v>
      </c>
      <c r="E32" s="4">
        <v>32</v>
      </c>
      <c r="F32" s="5">
        <f t="shared" si="2"/>
        <v>240</v>
      </c>
      <c r="G32" s="7">
        <f t="shared" si="3"/>
        <v>3.6</v>
      </c>
    </row>
    <row r="33" spans="1:7" ht="17.399999999999999" x14ac:dyDescent="0.4">
      <c r="A33" s="3" t="s">
        <v>38</v>
      </c>
      <c r="B33" s="5">
        <v>5</v>
      </c>
      <c r="C33" s="6">
        <v>1712</v>
      </c>
      <c r="D33" s="6">
        <v>2283</v>
      </c>
      <c r="E33" s="4">
        <v>75</v>
      </c>
      <c r="F33" s="5">
        <f t="shared" si="2"/>
        <v>80</v>
      </c>
      <c r="G33" s="7">
        <f t="shared" si="3"/>
        <v>28.537500000000001</v>
      </c>
    </row>
    <row r="34" spans="1:7" ht="17.399999999999999" x14ac:dyDescent="0.4">
      <c r="A34" s="3" t="s">
        <v>39</v>
      </c>
      <c r="B34" s="5">
        <v>15</v>
      </c>
      <c r="C34" s="6">
        <v>705</v>
      </c>
      <c r="D34" s="6">
        <v>940</v>
      </c>
      <c r="E34" s="4">
        <v>34</v>
      </c>
      <c r="F34" s="5">
        <f t="shared" si="2"/>
        <v>240</v>
      </c>
      <c r="G34" s="7">
        <f t="shared" si="3"/>
        <v>3.9166666666666665</v>
      </c>
    </row>
    <row r="35" spans="1:7" ht="17.399999999999999" x14ac:dyDescent="0.4">
      <c r="A35" s="3" t="s">
        <v>40</v>
      </c>
      <c r="B35" s="5">
        <v>5</v>
      </c>
      <c r="C35" s="6">
        <v>549</v>
      </c>
      <c r="D35" s="6">
        <v>732</v>
      </c>
      <c r="E35" s="4">
        <v>26.5</v>
      </c>
      <c r="F35" s="5">
        <f t="shared" si="2"/>
        <v>80</v>
      </c>
      <c r="G35" s="7">
        <f t="shared" si="3"/>
        <v>9.15</v>
      </c>
    </row>
    <row r="36" spans="1:7" ht="17.399999999999999" x14ac:dyDescent="0.4">
      <c r="A36" s="3" t="s">
        <v>41</v>
      </c>
      <c r="B36" s="5">
        <v>5</v>
      </c>
      <c r="C36" s="6">
        <v>650</v>
      </c>
      <c r="D36" s="6">
        <v>867</v>
      </c>
      <c r="E36" s="4">
        <v>31</v>
      </c>
      <c r="F36" s="5">
        <f t="shared" si="2"/>
        <v>80</v>
      </c>
      <c r="G36" s="7">
        <f t="shared" si="3"/>
        <v>10.8375</v>
      </c>
    </row>
    <row r="37" spans="1:7" ht="17.399999999999999" x14ac:dyDescent="0.4">
      <c r="A37" s="3" t="s">
        <v>42</v>
      </c>
      <c r="B37" s="5">
        <v>15</v>
      </c>
      <c r="C37" s="6">
        <v>740</v>
      </c>
      <c r="D37" s="6">
        <v>987</v>
      </c>
      <c r="E37" s="4">
        <v>36</v>
      </c>
      <c r="F37" s="5">
        <f t="shared" si="2"/>
        <v>240</v>
      </c>
      <c r="G37" s="7">
        <f t="shared" si="3"/>
        <v>4.1124999999999998</v>
      </c>
    </row>
    <row r="38" spans="1:7" ht="17.399999999999999" x14ac:dyDescent="0.4">
      <c r="A38" s="3" t="s">
        <v>43</v>
      </c>
      <c r="B38" s="5">
        <v>15</v>
      </c>
      <c r="C38" s="6">
        <v>1650</v>
      </c>
      <c r="D38" s="6">
        <v>2200</v>
      </c>
      <c r="E38" s="4">
        <v>72</v>
      </c>
      <c r="F38" s="5">
        <f t="shared" si="2"/>
        <v>240</v>
      </c>
      <c r="G38" s="7">
        <f t="shared" si="3"/>
        <v>9.1666666666666661</v>
      </c>
    </row>
    <row r="39" spans="1:7" ht="17.399999999999999" x14ac:dyDescent="0.4">
      <c r="A39" s="3" t="s">
        <v>44</v>
      </c>
      <c r="B39" s="5">
        <v>15</v>
      </c>
      <c r="C39" s="6">
        <v>538</v>
      </c>
      <c r="D39" s="6">
        <v>717</v>
      </c>
      <c r="E39" s="4">
        <v>26</v>
      </c>
      <c r="F39" s="5">
        <f t="shared" si="2"/>
        <v>240</v>
      </c>
      <c r="G39" s="7">
        <f t="shared" si="3"/>
        <v>2.9874999999999998</v>
      </c>
    </row>
    <row r="40" spans="1:7" ht="17.399999999999999" x14ac:dyDescent="0.4">
      <c r="A40" s="3" t="s">
        <v>45</v>
      </c>
      <c r="B40" s="5">
        <v>2.5</v>
      </c>
      <c r="C40" s="6">
        <v>3290</v>
      </c>
      <c r="D40" s="6">
        <v>4387</v>
      </c>
      <c r="E40" s="4">
        <v>100</v>
      </c>
      <c r="F40" s="5">
        <f t="shared" si="2"/>
        <v>40</v>
      </c>
      <c r="G40" s="7">
        <f t="shared" si="3"/>
        <v>109.675</v>
      </c>
    </row>
    <row r="41" spans="1:7" ht="17.399999999999999" x14ac:dyDescent="0.4">
      <c r="A41" s="3" t="s">
        <v>46</v>
      </c>
      <c r="B41" s="5">
        <v>15</v>
      </c>
      <c r="C41" s="6">
        <v>696</v>
      </c>
      <c r="D41" s="6">
        <v>928</v>
      </c>
      <c r="E41" s="4">
        <v>34</v>
      </c>
      <c r="F41" s="5">
        <f t="shared" si="2"/>
        <v>240</v>
      </c>
      <c r="G41" s="7">
        <f t="shared" si="3"/>
        <v>3.8666666666666667</v>
      </c>
    </row>
    <row r="42" spans="1:7" ht="17.399999999999999" x14ac:dyDescent="0.4">
      <c r="A42" s="3" t="s">
        <v>47</v>
      </c>
      <c r="B42" s="5">
        <v>15</v>
      </c>
      <c r="C42" s="6">
        <v>508</v>
      </c>
      <c r="D42" s="6">
        <v>677</v>
      </c>
      <c r="E42" s="4">
        <v>25</v>
      </c>
      <c r="F42" s="5">
        <f t="shared" si="2"/>
        <v>240</v>
      </c>
      <c r="G42" s="7">
        <f t="shared" si="3"/>
        <v>2.8208333333333333</v>
      </c>
    </row>
    <row r="43" spans="1:7" ht="17.399999999999999" x14ac:dyDescent="0.4">
      <c r="A43" s="3" t="s">
        <v>48</v>
      </c>
      <c r="B43" s="5">
        <v>15</v>
      </c>
      <c r="C43" s="6">
        <v>352</v>
      </c>
      <c r="D43" s="6">
        <v>469</v>
      </c>
      <c r="E43" s="4">
        <v>17</v>
      </c>
      <c r="F43" s="5">
        <f t="shared" si="2"/>
        <v>240</v>
      </c>
      <c r="G43" s="7">
        <f t="shared" si="3"/>
        <v>1.9541666666666666</v>
      </c>
    </row>
    <row r="44" spans="1:7" ht="17.399999999999999" x14ac:dyDescent="0.4">
      <c r="A44" s="3" t="s">
        <v>49</v>
      </c>
      <c r="B44" s="5">
        <v>15</v>
      </c>
      <c r="C44" s="6">
        <v>346</v>
      </c>
      <c r="D44" s="6">
        <v>461</v>
      </c>
      <c r="E44" s="4">
        <v>17</v>
      </c>
      <c r="F44" s="5">
        <f t="shared" si="2"/>
        <v>240</v>
      </c>
      <c r="G44" s="7">
        <f t="shared" si="3"/>
        <v>1.9208333333333334</v>
      </c>
    </row>
    <row r="45" spans="1:7" ht="17.399999999999999" x14ac:dyDescent="0.4">
      <c r="A45" s="3" t="s">
        <v>50</v>
      </c>
      <c r="B45" s="5">
        <v>15</v>
      </c>
      <c r="C45" s="6">
        <v>685</v>
      </c>
      <c r="D45" s="6">
        <v>913</v>
      </c>
      <c r="E45" s="4">
        <v>32</v>
      </c>
      <c r="F45" s="5">
        <f t="shared" si="2"/>
        <v>240</v>
      </c>
      <c r="G45" s="7">
        <f t="shared" si="3"/>
        <v>3.8041666666666667</v>
      </c>
    </row>
    <row r="46" spans="1:7" ht="17.399999999999999" x14ac:dyDescent="0.4">
      <c r="A46" s="3" t="s">
        <v>51</v>
      </c>
      <c r="B46" s="5">
        <v>15</v>
      </c>
      <c r="C46" s="6">
        <v>362</v>
      </c>
      <c r="D46" s="6">
        <v>483</v>
      </c>
      <c r="E46" s="4">
        <v>18</v>
      </c>
      <c r="F46" s="5">
        <f t="shared" si="2"/>
        <v>240</v>
      </c>
      <c r="G46" s="7">
        <f t="shared" si="3"/>
        <v>2.0125000000000002</v>
      </c>
    </row>
    <row r="47" spans="1:7" ht="17.399999999999999" x14ac:dyDescent="0.4">
      <c r="A47" s="3" t="s">
        <v>52</v>
      </c>
      <c r="B47" s="5">
        <v>15</v>
      </c>
      <c r="C47" s="6">
        <v>660</v>
      </c>
      <c r="D47" s="6">
        <v>880</v>
      </c>
      <c r="E47" s="4">
        <v>32</v>
      </c>
      <c r="F47" s="5">
        <f t="shared" si="2"/>
        <v>240</v>
      </c>
      <c r="G47" s="7">
        <f t="shared" si="3"/>
        <v>3.6666666666666665</v>
      </c>
    </row>
    <row r="48" spans="1:7" ht="17.399999999999999" x14ac:dyDescent="0.4">
      <c r="A48" s="3" t="s">
        <v>53</v>
      </c>
      <c r="B48" s="5">
        <v>5</v>
      </c>
      <c r="C48" s="6">
        <v>1096</v>
      </c>
      <c r="D48" s="6">
        <v>1462</v>
      </c>
      <c r="E48" s="4">
        <v>53</v>
      </c>
      <c r="F48" s="5">
        <f t="shared" si="2"/>
        <v>80</v>
      </c>
      <c r="G48" s="7">
        <f t="shared" si="3"/>
        <v>18.274999999999999</v>
      </c>
    </row>
    <row r="49" spans="1:7" ht="17.399999999999999" x14ac:dyDescent="0.4">
      <c r="A49" s="3" t="s">
        <v>54</v>
      </c>
      <c r="B49" s="5">
        <v>15</v>
      </c>
      <c r="C49" s="6">
        <v>362</v>
      </c>
      <c r="D49" s="6">
        <v>483</v>
      </c>
      <c r="E49" s="4">
        <v>18</v>
      </c>
      <c r="F49" s="5">
        <f t="shared" si="2"/>
        <v>240</v>
      </c>
      <c r="G49" s="7">
        <f t="shared" si="3"/>
        <v>2.0125000000000002</v>
      </c>
    </row>
    <row r="50" spans="1:7" ht="17.399999999999999" x14ac:dyDescent="0.4">
      <c r="A50" s="3" t="s">
        <v>55</v>
      </c>
      <c r="B50" s="5">
        <v>5</v>
      </c>
      <c r="C50" s="8">
        <v>2096</v>
      </c>
      <c r="D50" s="6">
        <v>2795</v>
      </c>
      <c r="E50" s="4">
        <v>90</v>
      </c>
      <c r="F50" s="5">
        <f t="shared" ref="F50:F73" si="4">B50*16</f>
        <v>80</v>
      </c>
      <c r="G50" s="7">
        <f t="shared" si="3"/>
        <v>34.9375</v>
      </c>
    </row>
    <row r="51" spans="1:7" ht="17.399999999999999" x14ac:dyDescent="0.4">
      <c r="A51" s="3" t="s">
        <v>56</v>
      </c>
      <c r="B51" s="5">
        <v>15</v>
      </c>
      <c r="C51" s="6">
        <v>492</v>
      </c>
      <c r="D51" s="6">
        <v>656</v>
      </c>
      <c r="E51" s="4">
        <v>24</v>
      </c>
      <c r="F51" s="5">
        <f t="shared" si="4"/>
        <v>240</v>
      </c>
      <c r="G51" s="7">
        <f t="shared" si="3"/>
        <v>2.7333333333333334</v>
      </c>
    </row>
    <row r="52" spans="1:7" ht="17.399999999999999" x14ac:dyDescent="0.4">
      <c r="A52" s="3" t="s">
        <v>57</v>
      </c>
      <c r="B52" s="5">
        <v>15</v>
      </c>
      <c r="C52" s="6">
        <v>372</v>
      </c>
      <c r="D52" s="6">
        <v>496</v>
      </c>
      <c r="E52" s="4">
        <v>18</v>
      </c>
      <c r="F52" s="5">
        <f t="shared" si="4"/>
        <v>240</v>
      </c>
      <c r="G52" s="7">
        <f t="shared" si="3"/>
        <v>2.0666666666666669</v>
      </c>
    </row>
    <row r="53" spans="1:7" ht="17.399999999999999" x14ac:dyDescent="0.4">
      <c r="A53" s="3" t="s">
        <v>58</v>
      </c>
      <c r="B53" s="5">
        <v>15</v>
      </c>
      <c r="C53" s="6">
        <v>378</v>
      </c>
      <c r="D53" s="6">
        <v>504</v>
      </c>
      <c r="E53" s="4">
        <v>19</v>
      </c>
      <c r="F53" s="5">
        <f t="shared" si="4"/>
        <v>240</v>
      </c>
      <c r="G53" s="7">
        <f t="shared" si="3"/>
        <v>2.1</v>
      </c>
    </row>
    <row r="54" spans="1:7" ht="17.399999999999999" x14ac:dyDescent="0.4">
      <c r="A54" s="3" t="s">
        <v>59</v>
      </c>
      <c r="B54" s="5">
        <v>15</v>
      </c>
      <c r="C54" s="6">
        <v>395</v>
      </c>
      <c r="D54" s="6">
        <v>527</v>
      </c>
      <c r="E54" s="4">
        <v>19</v>
      </c>
      <c r="F54" s="5">
        <f t="shared" si="4"/>
        <v>240</v>
      </c>
      <c r="G54" s="7">
        <f t="shared" si="3"/>
        <v>2.1958333333333333</v>
      </c>
    </row>
    <row r="55" spans="1:7" ht="17.399999999999999" x14ac:dyDescent="0.4">
      <c r="A55" s="3" t="s">
        <v>60</v>
      </c>
      <c r="B55" s="5">
        <v>15</v>
      </c>
      <c r="C55" s="6">
        <v>1242</v>
      </c>
      <c r="D55" s="6">
        <v>1656</v>
      </c>
      <c r="E55" s="4">
        <v>49</v>
      </c>
      <c r="F55" s="5">
        <f t="shared" si="4"/>
        <v>240</v>
      </c>
      <c r="G55" s="7">
        <f t="shared" si="3"/>
        <v>6.9</v>
      </c>
    </row>
    <row r="56" spans="1:7" ht="17.399999999999999" x14ac:dyDescent="0.4">
      <c r="A56" s="3" t="s">
        <v>61</v>
      </c>
      <c r="B56" s="5">
        <v>5</v>
      </c>
      <c r="C56" s="6">
        <v>1184</v>
      </c>
      <c r="D56" s="6">
        <v>1579</v>
      </c>
      <c r="E56" s="4">
        <v>54.5</v>
      </c>
      <c r="F56" s="5">
        <f t="shared" si="4"/>
        <v>80</v>
      </c>
      <c r="G56" s="7">
        <f t="shared" si="3"/>
        <v>19.737500000000001</v>
      </c>
    </row>
    <row r="57" spans="1:7" ht="17.399999999999999" x14ac:dyDescent="0.4">
      <c r="A57" s="3" t="s">
        <v>62</v>
      </c>
      <c r="B57" s="5">
        <v>10</v>
      </c>
      <c r="C57" s="6">
        <v>1200</v>
      </c>
      <c r="D57" s="6">
        <v>1600</v>
      </c>
      <c r="E57" s="4">
        <v>58</v>
      </c>
      <c r="F57" s="5">
        <f t="shared" si="4"/>
        <v>160</v>
      </c>
      <c r="G57" s="7">
        <f t="shared" si="3"/>
        <v>10</v>
      </c>
    </row>
    <row r="58" spans="1:7" ht="17.399999999999999" x14ac:dyDescent="0.4">
      <c r="A58" s="3" t="s">
        <v>63</v>
      </c>
      <c r="B58" s="5">
        <v>15</v>
      </c>
      <c r="C58" s="6">
        <v>524</v>
      </c>
      <c r="D58" s="6">
        <v>699</v>
      </c>
      <c r="E58" s="4">
        <v>26</v>
      </c>
      <c r="F58" s="5">
        <f t="shared" si="4"/>
        <v>240</v>
      </c>
      <c r="G58" s="7">
        <f t="shared" si="3"/>
        <v>2.9125000000000001</v>
      </c>
    </row>
    <row r="59" spans="1:7" ht="17.399999999999999" x14ac:dyDescent="0.4">
      <c r="A59" s="3" t="s">
        <v>64</v>
      </c>
      <c r="B59" s="5">
        <v>15</v>
      </c>
      <c r="C59" s="6">
        <v>665</v>
      </c>
      <c r="D59" s="6">
        <v>887</v>
      </c>
      <c r="E59" s="4">
        <v>32</v>
      </c>
      <c r="F59" s="5">
        <f t="shared" si="4"/>
        <v>240</v>
      </c>
      <c r="G59" s="7">
        <f t="shared" ref="G59:G81" si="5">D59/F59</f>
        <v>3.6958333333333333</v>
      </c>
    </row>
    <row r="60" spans="1:7" ht="17.399999999999999" x14ac:dyDescent="0.4">
      <c r="A60" s="3" t="s">
        <v>65</v>
      </c>
      <c r="B60" s="5">
        <v>15</v>
      </c>
      <c r="C60" s="6">
        <v>441</v>
      </c>
      <c r="D60" s="6">
        <v>588</v>
      </c>
      <c r="E60" s="4">
        <v>21</v>
      </c>
      <c r="F60" s="5">
        <f t="shared" si="4"/>
        <v>240</v>
      </c>
      <c r="G60" s="7">
        <f t="shared" si="5"/>
        <v>2.4500000000000002</v>
      </c>
    </row>
    <row r="61" spans="1:7" ht="17.399999999999999" x14ac:dyDescent="0.4">
      <c r="A61" s="3" t="s">
        <v>66</v>
      </c>
      <c r="B61" s="5">
        <v>15</v>
      </c>
      <c r="C61" s="6">
        <v>632</v>
      </c>
      <c r="D61" s="6">
        <v>843</v>
      </c>
      <c r="E61" s="4">
        <v>31</v>
      </c>
      <c r="F61" s="5">
        <f t="shared" si="4"/>
        <v>240</v>
      </c>
      <c r="G61" s="7">
        <f t="shared" si="5"/>
        <v>3.5125000000000002</v>
      </c>
    </row>
    <row r="62" spans="1:7" ht="17.399999999999999" x14ac:dyDescent="0.4">
      <c r="A62" s="3" t="s">
        <v>67</v>
      </c>
      <c r="B62" s="5">
        <v>5</v>
      </c>
      <c r="C62" s="6">
        <v>520</v>
      </c>
      <c r="D62" s="6">
        <v>693</v>
      </c>
      <c r="E62" s="4">
        <v>25</v>
      </c>
      <c r="F62" s="5">
        <f t="shared" si="4"/>
        <v>80</v>
      </c>
      <c r="G62" s="7">
        <f t="shared" si="5"/>
        <v>8.6624999999999996</v>
      </c>
    </row>
    <row r="63" spans="1:7" ht="17.399999999999999" x14ac:dyDescent="0.4">
      <c r="A63" s="3" t="s">
        <v>68</v>
      </c>
      <c r="B63" s="5">
        <v>5</v>
      </c>
      <c r="C63" s="6">
        <v>550</v>
      </c>
      <c r="D63" s="6">
        <v>733</v>
      </c>
      <c r="E63" s="4">
        <v>27</v>
      </c>
      <c r="F63" s="5">
        <f t="shared" si="4"/>
        <v>80</v>
      </c>
      <c r="G63" s="7">
        <f t="shared" si="5"/>
        <v>9.1624999999999996</v>
      </c>
    </row>
    <row r="64" spans="1:7" ht="17.399999999999999" x14ac:dyDescent="0.4">
      <c r="A64" s="3" t="s">
        <v>69</v>
      </c>
      <c r="B64" s="5">
        <v>5</v>
      </c>
      <c r="C64" s="6">
        <v>440</v>
      </c>
      <c r="D64" s="6">
        <v>587</v>
      </c>
      <c r="E64" s="4">
        <v>21</v>
      </c>
      <c r="F64" s="5">
        <f t="shared" si="4"/>
        <v>80</v>
      </c>
      <c r="G64" s="7">
        <f t="shared" si="5"/>
        <v>7.3375000000000004</v>
      </c>
    </row>
    <row r="65" spans="1:7" ht="17.399999999999999" x14ac:dyDescent="0.4">
      <c r="A65" s="3" t="s">
        <v>70</v>
      </c>
      <c r="B65" s="5">
        <v>5</v>
      </c>
      <c r="C65" s="6">
        <v>6029</v>
      </c>
      <c r="D65" s="6">
        <v>8039</v>
      </c>
      <c r="E65" s="4">
        <v>211</v>
      </c>
      <c r="F65" s="5">
        <f t="shared" si="4"/>
        <v>80</v>
      </c>
      <c r="G65" s="7">
        <f t="shared" si="5"/>
        <v>100.4875</v>
      </c>
    </row>
    <row r="66" spans="1:7" ht="17.399999999999999" x14ac:dyDescent="0.4">
      <c r="A66" s="3" t="s">
        <v>71</v>
      </c>
      <c r="B66" s="5">
        <v>15</v>
      </c>
      <c r="C66" s="6">
        <v>892</v>
      </c>
      <c r="D66" s="6">
        <v>1189</v>
      </c>
      <c r="E66" s="4">
        <v>43</v>
      </c>
      <c r="F66" s="5">
        <f t="shared" si="4"/>
        <v>240</v>
      </c>
      <c r="G66" s="7">
        <f t="shared" si="5"/>
        <v>4.9541666666666666</v>
      </c>
    </row>
    <row r="67" spans="1:7" ht="17.399999999999999" x14ac:dyDescent="0.4">
      <c r="A67" s="3" t="s">
        <v>72</v>
      </c>
      <c r="B67" s="5">
        <v>5</v>
      </c>
      <c r="C67" s="6">
        <v>1652</v>
      </c>
      <c r="D67" s="6">
        <v>2203</v>
      </c>
      <c r="E67" s="4">
        <v>60</v>
      </c>
      <c r="F67" s="5">
        <f t="shared" si="4"/>
        <v>80</v>
      </c>
      <c r="G67" s="7">
        <f t="shared" si="5"/>
        <v>27.537500000000001</v>
      </c>
    </row>
    <row r="68" spans="1:7" ht="17.399999999999999" x14ac:dyDescent="0.4">
      <c r="A68" s="3" t="s">
        <v>73</v>
      </c>
      <c r="B68" s="5">
        <v>5</v>
      </c>
      <c r="C68" s="6">
        <v>1644</v>
      </c>
      <c r="D68" s="6">
        <v>2192</v>
      </c>
      <c r="E68" s="4">
        <v>68.5</v>
      </c>
      <c r="F68" s="5">
        <f t="shared" si="4"/>
        <v>80</v>
      </c>
      <c r="G68" s="7">
        <f t="shared" si="5"/>
        <v>27.4</v>
      </c>
    </row>
    <row r="69" spans="1:7" ht="17.399999999999999" x14ac:dyDescent="0.4">
      <c r="A69" s="3" t="s">
        <v>74</v>
      </c>
      <c r="B69" s="5">
        <v>5</v>
      </c>
      <c r="C69" s="6">
        <v>567</v>
      </c>
      <c r="D69" s="6">
        <v>756</v>
      </c>
      <c r="E69" s="4">
        <v>27</v>
      </c>
      <c r="F69" s="5">
        <f t="shared" si="4"/>
        <v>80</v>
      </c>
      <c r="G69" s="7">
        <f t="shared" si="5"/>
        <v>9.4499999999999993</v>
      </c>
    </row>
    <row r="70" spans="1:7" ht="17.399999999999999" x14ac:dyDescent="0.4">
      <c r="A70" s="3" t="s">
        <v>75</v>
      </c>
      <c r="B70" s="5">
        <v>15</v>
      </c>
      <c r="C70" s="6">
        <v>833</v>
      </c>
      <c r="D70" s="6">
        <v>1111</v>
      </c>
      <c r="E70" s="4">
        <v>41</v>
      </c>
      <c r="F70" s="5">
        <f t="shared" si="4"/>
        <v>240</v>
      </c>
      <c r="G70" s="7">
        <f t="shared" si="5"/>
        <v>4.6291666666666664</v>
      </c>
    </row>
    <row r="71" spans="1:7" ht="17.399999999999999" x14ac:dyDescent="0.4">
      <c r="A71" s="3" t="s">
        <v>76</v>
      </c>
      <c r="B71" s="5">
        <v>15</v>
      </c>
      <c r="C71" s="6">
        <v>625</v>
      </c>
      <c r="D71" s="6">
        <v>833</v>
      </c>
      <c r="E71" s="4">
        <v>30</v>
      </c>
      <c r="F71" s="5">
        <f t="shared" si="4"/>
        <v>240</v>
      </c>
      <c r="G71" s="7">
        <f t="shared" si="5"/>
        <v>3.4708333333333332</v>
      </c>
    </row>
    <row r="72" spans="1:7" ht="17.399999999999999" x14ac:dyDescent="0.4">
      <c r="A72" s="3" t="s">
        <v>77</v>
      </c>
      <c r="B72" s="5">
        <v>15</v>
      </c>
      <c r="C72" s="6">
        <v>635</v>
      </c>
      <c r="D72" s="6">
        <v>847</v>
      </c>
      <c r="E72" s="4">
        <v>30.5</v>
      </c>
      <c r="F72" s="5">
        <f t="shared" si="4"/>
        <v>240</v>
      </c>
      <c r="G72" s="7">
        <f t="shared" si="5"/>
        <v>3.5291666666666668</v>
      </c>
    </row>
    <row r="73" spans="1:7" ht="17.399999999999999" x14ac:dyDescent="0.4">
      <c r="A73" s="3" t="s">
        <v>78</v>
      </c>
      <c r="B73" s="5">
        <v>15</v>
      </c>
      <c r="C73" s="6">
        <v>465</v>
      </c>
      <c r="D73" s="6">
        <v>620</v>
      </c>
      <c r="E73" s="4">
        <v>22</v>
      </c>
      <c r="F73" s="5">
        <f t="shared" si="4"/>
        <v>240</v>
      </c>
      <c r="G73" s="7">
        <f t="shared" si="5"/>
        <v>2.5833333333333335</v>
      </c>
    </row>
    <row r="74" spans="1:7" ht="17.399999999999999" x14ac:dyDescent="0.4">
      <c r="A74" s="3" t="s">
        <v>79</v>
      </c>
      <c r="B74" s="5">
        <v>15</v>
      </c>
      <c r="C74" s="6">
        <v>448</v>
      </c>
      <c r="D74" s="6">
        <v>597</v>
      </c>
      <c r="E74" s="4">
        <v>22</v>
      </c>
      <c r="F74" s="5">
        <f t="shared" ref="F74:F81" si="6">B74*16</f>
        <v>240</v>
      </c>
      <c r="G74" s="7">
        <f t="shared" si="5"/>
        <v>2.4874999999999998</v>
      </c>
    </row>
    <row r="75" spans="1:7" ht="17.399999999999999" x14ac:dyDescent="0.4">
      <c r="A75" s="3" t="s">
        <v>80</v>
      </c>
      <c r="B75" s="5">
        <v>15</v>
      </c>
      <c r="C75" s="6">
        <v>654</v>
      </c>
      <c r="D75" s="6">
        <v>872</v>
      </c>
      <c r="E75" s="4">
        <v>31</v>
      </c>
      <c r="F75" s="5">
        <f t="shared" si="6"/>
        <v>240</v>
      </c>
      <c r="G75" s="7">
        <f t="shared" si="5"/>
        <v>3.6333333333333333</v>
      </c>
    </row>
    <row r="76" spans="1:7" ht="17.399999999999999" x14ac:dyDescent="0.4">
      <c r="A76" s="3" t="s">
        <v>81</v>
      </c>
      <c r="B76" s="5">
        <v>5</v>
      </c>
      <c r="C76" s="6">
        <v>660</v>
      </c>
      <c r="D76" s="6">
        <v>880</v>
      </c>
      <c r="E76" s="4">
        <v>31</v>
      </c>
      <c r="F76" s="5">
        <f t="shared" si="6"/>
        <v>80</v>
      </c>
      <c r="G76" s="7">
        <f t="shared" si="5"/>
        <v>11</v>
      </c>
    </row>
    <row r="77" spans="1:7" ht="17.399999999999999" x14ac:dyDescent="0.4">
      <c r="A77" s="3" t="s">
        <v>82</v>
      </c>
      <c r="B77" s="5">
        <v>15</v>
      </c>
      <c r="C77" s="6">
        <v>750</v>
      </c>
      <c r="D77" s="6">
        <v>1000</v>
      </c>
      <c r="E77" s="4">
        <v>36</v>
      </c>
      <c r="F77" s="5">
        <f t="shared" si="6"/>
        <v>240</v>
      </c>
      <c r="G77" s="7">
        <f t="shared" si="5"/>
        <v>4.166666666666667</v>
      </c>
    </row>
    <row r="78" spans="1:7" ht="17.399999999999999" x14ac:dyDescent="0.4">
      <c r="A78" s="3" t="s">
        <v>83</v>
      </c>
      <c r="B78" s="5">
        <v>5</v>
      </c>
      <c r="C78" s="6">
        <v>874</v>
      </c>
      <c r="D78" s="6">
        <v>1165</v>
      </c>
      <c r="E78" s="4">
        <v>42</v>
      </c>
      <c r="F78" s="5">
        <f t="shared" si="6"/>
        <v>80</v>
      </c>
      <c r="G78" s="7">
        <f t="shared" si="5"/>
        <v>14.5625</v>
      </c>
    </row>
    <row r="79" spans="1:7" ht="17.399999999999999" x14ac:dyDescent="0.4">
      <c r="A79" s="3" t="s">
        <v>84</v>
      </c>
      <c r="B79" s="5">
        <v>15</v>
      </c>
      <c r="C79" s="6">
        <v>835</v>
      </c>
      <c r="D79" s="6">
        <v>1113</v>
      </c>
      <c r="E79" s="4">
        <v>37</v>
      </c>
      <c r="F79" s="5">
        <f t="shared" si="6"/>
        <v>240</v>
      </c>
      <c r="G79" s="7">
        <f t="shared" si="5"/>
        <v>4.6375000000000002</v>
      </c>
    </row>
    <row r="80" spans="1:7" ht="17.399999999999999" x14ac:dyDescent="0.4">
      <c r="A80" s="3" t="s">
        <v>85</v>
      </c>
      <c r="B80" s="5">
        <v>30</v>
      </c>
      <c r="C80" s="6">
        <v>2324</v>
      </c>
      <c r="D80" s="6">
        <v>3099</v>
      </c>
      <c r="E80" s="4">
        <v>112</v>
      </c>
      <c r="F80" s="5">
        <f t="shared" si="6"/>
        <v>480</v>
      </c>
      <c r="G80" s="7">
        <f t="shared" si="5"/>
        <v>6.4562499999999998</v>
      </c>
    </row>
    <row r="81" spans="1:7" ht="17.399999999999999" x14ac:dyDescent="0.4">
      <c r="A81" s="3" t="s">
        <v>86</v>
      </c>
      <c r="B81" s="5">
        <v>15</v>
      </c>
      <c r="C81" s="6">
        <v>842</v>
      </c>
      <c r="D81" s="6">
        <v>1123</v>
      </c>
      <c r="E81" s="4">
        <v>41</v>
      </c>
      <c r="F81" s="5">
        <f t="shared" si="6"/>
        <v>240</v>
      </c>
      <c r="G81" s="7">
        <f t="shared" si="5"/>
        <v>4.6791666666666663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GARZA ALLENDE</dc:creator>
  <cp:lastModifiedBy>PAULINA GARZA ALLENDE</cp:lastModifiedBy>
  <dcterms:created xsi:type="dcterms:W3CDTF">2026-05-26T17:16:43Z</dcterms:created>
  <dcterms:modified xsi:type="dcterms:W3CDTF">2026-05-26T17:26:45Z</dcterms:modified>
</cp:coreProperties>
</file>